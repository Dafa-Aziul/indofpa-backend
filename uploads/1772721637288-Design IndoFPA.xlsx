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semester_5\Proyek\"/>
    </mc:Choice>
  </mc:AlternateContent>
  <xr:revisionPtr revIDLastSave="0" documentId="13_ncr:1_{2184DECD-8258-459C-BDD7-C94612C6B60E}" xr6:coauthVersionLast="47" xr6:coauthVersionMax="47" xr10:uidLastSave="{00000000-0000-0000-0000-000000000000}"/>
  <bookViews>
    <workbookView xWindow="31740" yWindow="2940" windowWidth="21600" windowHeight="11295" activeTab="3" xr2:uid="{B43E9169-16F0-4A3A-8511-41C7DCE0E842}"/>
  </bookViews>
  <sheets>
    <sheet name="Tujuan Sistem" sheetId="2" r:id="rId1"/>
    <sheet name="Struktur" sheetId="1" r:id="rId2"/>
    <sheet name="Form Survey" sheetId="3" r:id="rId3"/>
    <sheet name="Hasil Survey" sheetId="4" r:id="rId4"/>
    <sheet name="Analisis" sheetId="5" r:id="rId5"/>
    <sheet name="contoh"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5" l="1"/>
  <c r="E24" i="5"/>
  <c r="F20" i="5"/>
  <c r="E20" i="5"/>
  <c r="F17" i="5"/>
  <c r="E17" i="5"/>
  <c r="F13" i="5"/>
  <c r="E13" i="5"/>
</calcChain>
</file>

<file path=xl/sharedStrings.xml><?xml version="1.0" encoding="utf-8"?>
<sst xmlns="http://schemas.openxmlformats.org/spreadsheetml/2006/main" count="147" uniqueCount="110">
  <si>
    <t>Draft Sistem Survey Berbasis Web IndoFPA</t>
  </si>
  <si>
    <r>
      <t xml:space="preserve">Nama Sistem Survey Berbasis Web : </t>
    </r>
    <r>
      <rPr>
        <b/>
        <sz val="11"/>
        <color theme="1"/>
        <rFont val="Aptos Narrow"/>
        <family val="2"/>
        <scheme val="minor"/>
      </rPr>
      <t>INDOFPA</t>
    </r>
  </si>
  <si>
    <r>
      <rPr>
        <b/>
        <sz val="11"/>
        <color theme="1"/>
        <rFont val="Aptos Narrow"/>
        <family val="2"/>
        <scheme val="minor"/>
      </rPr>
      <t>SELAMAT DATANG</t>
    </r>
    <r>
      <rPr>
        <sz val="11"/>
        <color theme="1"/>
        <rFont val="Aptos Narrow"/>
        <family val="2"/>
        <scheme val="minor"/>
      </rPr>
      <t xml:space="preserve"> </t>
    </r>
  </si>
  <si>
    <t>INDOFPA bertujuan untuk memahami bagaimana masyarakat Indonesia melihat dan merespon kebijakan luar negeri yang dijalankan oleh pemerintah Indonesia. Selain itu sistem ini memungkinkan untuk mengidentifikasi trend pola sikap masyarakat terhadap kebijakan luar negeri Indonesia dari waktu ke waktu dan memetakan perubahan tersebut berdasarkan kelompok demografis. Data yang dikumpulkan melalui survey ini berguna sebagai dasar untuk merumuskan kebijakan luar negeri yang lebih responsif terhadap kebutuhan dan pandangan masyarakat. Sistem ini juga berfokus pada pengumpulan data yang dapat dipercaya dan akurat, serta menjamin privasi dan keamanan data responden, untuk memastikan bahwa informasi yang terkumpul dapat diandalkan untuk penelitian lebih lanjut</t>
  </si>
  <si>
    <t>Halaman deskripsi dan Informasi Survey</t>
  </si>
  <si>
    <t>Tujuan Survei</t>
  </si>
  <si>
    <t>Survei ini dirancang untuk menggali sikap masyarakat Indonesia terhadap kebijakan luar negeri negara mereka. Tujuan utamanya adalah untuk memahami bagaimana masyarakat melihat kebijakan luar negeri yang diterapkan oleh pemerintah, serta bagaimana mereka menilai hubungan Indonesia dengan negara-negara lain di dunia. Selain itu, survei ini juga bertujuan untuk mengidentifikasi berbagai perubahan atau tren dalam sikap masyarakat terhadap isu-isu internasional dari waktu ke waktu. Data yang terkumpul akan digunakan untuk memberi gambaran yang lebih lengkap kepada pembuat kebijakan agar kebijakan luar negeri Indonesia dapat lebih mencerminkan kebutuhan dan preferensi masyarakat.</t>
  </si>
  <si>
    <t>Manfaat Bagi Publik</t>
  </si>
  <si>
    <t>Partisipasi dalam survei ini memberikan kesempatan bagi masyarakat untuk menyuarakan pendapat mereka mengenai kebijakan luar negeri Indonesia. Hasil survei ini tidak hanya bermanfaat bagi pihak IndoFPA, tetapi juga bagi pembuat kebijakan yang dapat menggunakan data ini sebagai bahan pertimbangan dalam merumuskan kebijakan luar negeri yang lebih relevan dan responsif terhadap kebutuhan masyarakat. Dengan berpartisipasi, masyarakat dapat merasa lebih terlibat dalam proses pengambilan keputusan yang berhubungan dengan posisi Indonesia di kancah internasional. Selain itu, survei ini juga memberikan wawasan kepada masyarakat mengenai bagaimana kebijakan luar negeri Indonesia berdampak pada kehidupan mereka sehari-hari.</t>
  </si>
  <si>
    <t>Informasi Mengenai Privasi Data</t>
  </si>
  <si>
    <t>Salah satu aspek yang sangat diperhatikan dalam survei ini adalah keamanan dan privasi data pengguna. Di halaman ini, pengguna akan diberi informasi yang transparan mengenai bagaimana data mereka akan digunakan dan dilindungi. Setiap jawaban yang diberikan oleh peserta akan diperlakukan dengan sangat hati-hati dan tidak akan disalahgunakan. Pengguna akan diberitahu bahwa informasi pribadi mereka akan disimpan dengan aman, dan hasil survei hanya akan digunakan untuk tujuan analisis kebijakan luar negeri. Hal ini bertujuan untuk membangun kepercayaan publik terhadap sistem survei, sehingga mereka merasa nyaman untuk memberikan jawaban yang jujur dan terbuka.</t>
  </si>
  <si>
    <t>Cara Menggunakan Sistem</t>
  </si>
  <si>
    <t>Halaman ini juga menyediakan panduan singkat mengenai cara menggunakan sistem survei. Pengguna akan diajak untuk terlebih dahulu membaca deskripsi survei, setelah itu mereka dapat memulai survei dengan menekan tombol "Mulai Survey". Selama proses pengisian, pengguna akan diminta untuk menjawab serangkaian pertanyaan mengenai sikap mereka terhadap kebijakan luar negeri Indonesia. Semua pertanyaan telah disusun dengan bahasa yang mudah dipahami dan dijamin tidak akan memakan waktu lama untuk dijawab. Setelah selesai, peserta dapat menekan tombol "Kirim" untuk mengirimkan jawaban mereka. Sistem ini juga menyediakan notifikasi jika survei sudah selesai diisi, dan peserta akan menerima konfirmasi terima kasih atas partisipasinya.</t>
  </si>
  <si>
    <t>No</t>
  </si>
  <si>
    <t>Identitas responden</t>
  </si>
  <si>
    <t>a. Nama</t>
  </si>
  <si>
    <t>b. Jenis Kelamin</t>
  </si>
  <si>
    <t>laki-laki</t>
  </si>
  <si>
    <t>perempuan</t>
  </si>
  <si>
    <t>preferensi tidak disebutkan</t>
  </si>
  <si>
    <t>c. Usia</t>
  </si>
  <si>
    <t>d. Tingkat pendidikan</t>
  </si>
  <si>
    <t>e. Agama</t>
  </si>
  <si>
    <t>Tidak tamat SD</t>
  </si>
  <si>
    <t>SD</t>
  </si>
  <si>
    <t>SMP</t>
  </si>
  <si>
    <t>SMA/MA</t>
  </si>
  <si>
    <t>Diploma</t>
  </si>
  <si>
    <t>S1</t>
  </si>
  <si>
    <t>S2</t>
  </si>
  <si>
    <t>S3</t>
  </si>
  <si>
    <t>Tidak sekolah</t>
  </si>
  <si>
    <t>18-24 tahun</t>
  </si>
  <si>
    <t>25-34 tahun</t>
  </si>
  <si>
    <t>35-44 tahun</t>
  </si>
  <si>
    <t>45 - 54 tahun</t>
  </si>
  <si>
    <t>55 - 64 tahun</t>
  </si>
  <si>
    <t>65 tahun ke atas</t>
  </si>
  <si>
    <t>Islam</t>
  </si>
  <si>
    <t>Kristen Protestan</t>
  </si>
  <si>
    <t>Kristen Katholik</t>
  </si>
  <si>
    <t>Hindu</t>
  </si>
  <si>
    <t>Buddha</t>
  </si>
  <si>
    <t>Konghucu</t>
  </si>
  <si>
    <t>Aliran Kepercayaan</t>
  </si>
  <si>
    <t xml:space="preserve">2. </t>
  </si>
  <si>
    <t>Isi Survey</t>
  </si>
  <si>
    <r>
      <t>Petunjuk Pengisian</t>
    </r>
    <r>
      <rPr>
        <sz val="9"/>
        <color rgb="FF202124"/>
        <rFont val="Arial"/>
        <family val="2"/>
      </rPr>
      <t>:</t>
    </r>
  </si>
  <si>
    <t>1. Bacalah setiap butir pertanyaan dengan cermat</t>
  </si>
  <si>
    <t>2. Setiap butir pertanyaan disediakan 6 (enam) pilihan jawaban dengan skala penilaian berjenjang, yaitu:</t>
  </si>
  <si>
    <t>Sangat setuju (SS)</t>
  </si>
  <si>
    <t>Setuju (S)</t>
  </si>
  <si>
    <t>Kurang setuju (KS)</t>
  </si>
  <si>
    <t>Tidak setuju (TS)</t>
  </si>
  <si>
    <t>Sangat tidak setuju (STS)</t>
  </si>
  <si>
    <t>Tidak Tahu (TT)</t>
  </si>
  <si>
    <t>3. Pilihlah skala penilaian yang dianggap sesuai dengan cara memilih salah satu skala penilaian yang telah disediakan</t>
  </si>
  <si>
    <t>Indonesia harus lebih banyak bekerja melalui organisasi internasional, seperti PBB.</t>
  </si>
  <si>
    <t>Dalam memutuskan kebijakan luar negerinya, Indonesia harus mempertimbangkan pandangan sekutu-sekutu utamanya.</t>
  </si>
  <si>
    <t>Cara terbaik bagi Indonesia untuk menjadi pemimpin dunia dalam urusan luar negeri adalah dengan membangun konsensus internasional.</t>
  </si>
  <si>
    <t>Indonesia harus lebih berkomitmen pada diplomasi dan begitu cepat menggunakan militer dalam krisis internasional.</t>
  </si>
  <si>
    <t>Kepentingan Indonesia paling baik dilindungi dengan menghindari keterlibatan dengan negara lain.</t>
  </si>
  <si>
    <t xml:space="preserve">Indonesia tidak seharusnya mempertaruhkan kebahagiaan dan kesejahteraan warganya dengan terlibat dengan negara lain </t>
  </si>
  <si>
    <t>Indonesia hanya perlu mengurusi urusannya sendiri dalam hal urusan internasional.</t>
  </si>
  <si>
    <t>Indonesia tidak perlu menarik diri dari urusan internasional, hanya saja perlu berhenti membiarkan organisasi internasional memberi tahu kita apa yang boleh dan tidak boleh dilakukan</t>
  </si>
  <si>
    <t>Indonesia harus selalu melakukan apa yang menjadi kepentingannya sendiri, bahkan jika sekutu keberatan.</t>
  </si>
  <si>
    <t>Indonesia harus mengambil semua langkah termasuk penggunaan kekuatan untuk mencegah agresi oleh kekuatan ekspansionis.</t>
  </si>
  <si>
    <t>Indonesia membutuhkan militer yang kuat agar efektif dalam hubungan internasional.</t>
  </si>
  <si>
    <t>Indonesia harus lebih bersedia untuk berbagi kekayaan dengan negara lain, bahkan jika itu tidak sesuai dengan kepentingan politik kita</t>
  </si>
  <si>
    <t>Indonesia harus mengeluarkan lebih banyak uang untuk bantuan luar negeri</t>
  </si>
  <si>
    <t>Indonesia sudah melakukan cukup banyak hal untuk membantu masyarakat miskin di dunia</t>
  </si>
  <si>
    <t>Kisi-Kisi Instrumen Sikap terhadap Kebijakan Luar Negeri</t>
  </si>
  <si>
    <t>Variabel</t>
  </si>
  <si>
    <t>Indikator</t>
  </si>
  <si>
    <t>No. Butir Soal</t>
  </si>
  <si>
    <t>Jumlah</t>
  </si>
  <si>
    <t>Sikap terhadap kebijakan luar negeri</t>
  </si>
  <si>
    <t>1, 2, 3, 4</t>
  </si>
  <si>
    <t>12, 13, 14</t>
  </si>
  <si>
    <t>C. Pengolahan dan Visualisasi Hasil</t>
  </si>
  <si>
    <r>
      <t>Visualisasi Hasil Survey</t>
    </r>
    <r>
      <rPr>
        <sz val="11"/>
        <color theme="1"/>
        <rFont val="Aptos Narrow"/>
        <family val="2"/>
        <scheme val="minor"/>
      </rPr>
      <t>:</t>
    </r>
  </si>
  <si>
    <t>Hasil dari survei yang dikumpulkan akan disajikan dalam bentuk visualisasi yang menarik (grafik, diagram, dan tabel) di dashboard admin, termasuk pengelompokkan data berdasarkan kategori demografi.</t>
  </si>
  <si>
    <r>
      <t>Analisis Tren</t>
    </r>
    <r>
      <rPr>
        <sz val="11"/>
        <color theme="1"/>
        <rFont val="Aptos Narrow"/>
        <family val="2"/>
        <scheme val="minor"/>
      </rPr>
      <t>:</t>
    </r>
  </si>
  <si>
    <t>Menyediakan analisis perubahan tren sikap masyarakat terhadap kebijakan luar negeri Indonesia dalam waktu tertentu.</t>
  </si>
  <si>
    <r>
      <t>Filter Data Berdasarkan Demografi</t>
    </r>
    <r>
      <rPr>
        <sz val="11"/>
        <color theme="1"/>
        <rFont val="Aptos Narrow"/>
        <family val="2"/>
        <scheme val="minor"/>
      </rPr>
      <t>:</t>
    </r>
  </si>
  <si>
    <t>Fitur untuk memfilter data berdasarkan kelompok usia, jenis kelamin, tingkat pendidikan, dan lokasi geografi untuk menganalisis perbedaan persepsi yang ada.</t>
  </si>
  <si>
    <t>bisakah nanti bantu skorkan si responden ini memiliki skor yang tinggi pada indikator yang mana</t>
  </si>
  <si>
    <t>5, 6, 7</t>
  </si>
  <si>
    <t>8, 9, 10, 11</t>
  </si>
  <si>
    <t>Pertanyaan</t>
  </si>
  <si>
    <r>
      <t>1.</t>
    </r>
    <r>
      <rPr>
        <sz val="7"/>
        <color theme="1"/>
        <rFont val="Times New Roman"/>
        <family val="1"/>
      </rPr>
      <t xml:space="preserve">     </t>
    </r>
    <r>
      <rPr>
        <sz val="12"/>
        <color theme="1"/>
        <rFont val="Times New Roman"/>
        <family val="1"/>
      </rPr>
      <t>Sikap Koperatif Internasionalisme (CI)</t>
    </r>
  </si>
  <si>
    <r>
      <t>2.</t>
    </r>
    <r>
      <rPr>
        <sz val="7"/>
        <color theme="1"/>
        <rFont val="Times New Roman"/>
        <family val="1"/>
      </rPr>
      <t xml:space="preserve">     </t>
    </r>
    <r>
      <rPr>
        <sz val="12"/>
        <color theme="1"/>
        <rFont val="Times New Roman"/>
        <family val="1"/>
      </rPr>
      <t>Sikap Isolasionisme (ISO)</t>
    </r>
  </si>
  <si>
    <r>
      <t>3.</t>
    </r>
    <r>
      <rPr>
        <sz val="7"/>
        <color theme="1"/>
        <rFont val="Times New Roman"/>
        <family val="1"/>
      </rPr>
      <t xml:space="preserve">     </t>
    </r>
    <r>
      <rPr>
        <sz val="12"/>
        <color theme="1"/>
        <rFont val="Times New Roman"/>
        <family val="1"/>
      </rPr>
      <t>Sikap Militan Internasionalisme (MI)</t>
    </r>
  </si>
  <si>
    <r>
      <t>4.</t>
    </r>
    <r>
      <rPr>
        <sz val="7"/>
        <color theme="1"/>
        <rFont val="Times New Roman"/>
        <family val="1"/>
      </rPr>
      <t xml:space="preserve">     </t>
    </r>
    <r>
      <rPr>
        <sz val="12"/>
        <color theme="1"/>
        <rFont val="Times New Roman"/>
        <family val="1"/>
      </rPr>
      <t>Sikap Keadilan Global/ Akomodatif (GJ)</t>
    </r>
  </si>
  <si>
    <t>CI</t>
  </si>
  <si>
    <t>ISO</t>
  </si>
  <si>
    <t>MI</t>
  </si>
  <si>
    <t>GJ</t>
  </si>
  <si>
    <t xml:space="preserve">SKOR (berdasarkan skala linear </t>
  </si>
  <si>
    <t xml:space="preserve">pertanyaan </t>
  </si>
  <si>
    <t>SKOR CI</t>
  </si>
  <si>
    <t>SKOR ISO</t>
  </si>
  <si>
    <t>SKOR MI</t>
  </si>
  <si>
    <t>SKOR GJ</t>
  </si>
  <si>
    <t>SIKAP</t>
  </si>
  <si>
    <t>total skor</t>
  </si>
  <si>
    <t>karena ada 3 item dengan skala 1-6 maka rentang skor menjadi 3-18</t>
  </si>
  <si>
    <t>ada 5 item, dengan skala 1-6, maka rentang skor adalah 6-30</t>
  </si>
  <si>
    <t>ada 3 item, dengan skala 1-6 maka rentang skor 3-18</t>
  </si>
  <si>
    <t>karena ada 4 item pertanyaan sehingga  dengan skala 1-6 rentang skor menjadi 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</si>
</sst>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4"/>
      <color theme="1"/>
      <name val="Aptos Narrow"/>
      <family val="2"/>
      <scheme val="minor"/>
    </font>
    <font>
      <sz val="9"/>
      <color rgb="FF202124"/>
      <name val="Arial"/>
      <family val="2"/>
    </font>
    <font>
      <b/>
      <sz val="9"/>
      <color rgb="FF202124"/>
      <name val="Arial"/>
      <family val="2"/>
    </font>
    <font>
      <sz val="12"/>
      <color theme="1"/>
      <name val="Times New Roman"/>
      <family val="1"/>
    </font>
    <font>
      <b/>
      <sz val="12"/>
      <color theme="1"/>
      <name val="Times New Roman"/>
      <family val="1"/>
    </font>
    <font>
      <sz val="7"/>
      <color theme="1"/>
      <name val="Times New Roman"/>
      <family val="1"/>
    </font>
    <font>
      <b/>
      <sz val="12"/>
      <color theme="1"/>
      <name val="Aptos Narrow"/>
      <family val="2"/>
      <scheme val="minor"/>
    </font>
    <font>
      <sz val="11"/>
      <color rgb="FF000000"/>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0" fontId="1" fillId="0" borderId="0" xfId="0" applyFont="1"/>
    <xf numFmtId="0" fontId="4"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1" fillId="0" borderId="0" xfId="0" applyFont="1" applyAlignment="1">
      <alignment vertical="top" wrapText="1"/>
    </xf>
    <xf numFmtId="0" fontId="0" fillId="0" borderId="0" xfId="0" applyAlignment="1">
      <alignment horizontal="left"/>
    </xf>
    <xf numFmtId="0" fontId="0" fillId="0" borderId="0" xfId="0" applyAlignment="1">
      <alignment horizontal="left" wrapText="1"/>
    </xf>
    <xf numFmtId="0" fontId="5" fillId="0" borderId="0" xfId="0" applyFont="1" applyAlignment="1">
      <alignment horizontal="left" vertical="center" wrapText="1" indent="4"/>
    </xf>
    <xf numFmtId="0" fontId="5" fillId="0" borderId="0" xfId="0" applyFont="1" applyAlignment="1">
      <alignment horizontal="justify" vertical="center" wrapText="1"/>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0" fontId="5" fillId="0" borderId="1" xfId="0" applyFont="1" applyBorder="1" applyAlignment="1">
      <alignment horizontal="left" vertical="center" wrapText="1" indent="4"/>
    </xf>
    <xf numFmtId="0" fontId="5" fillId="0" borderId="1" xfId="0" applyFont="1" applyBorder="1" applyAlignment="1">
      <alignment horizontal="justify" vertical="center" wrapText="1"/>
    </xf>
    <xf numFmtId="0" fontId="0" fillId="0" borderId="1" xfId="0" applyBorder="1" applyAlignment="1">
      <alignment vertical="top" wrapText="1"/>
    </xf>
    <xf numFmtId="0" fontId="8" fillId="0" borderId="0" xfId="0" applyFont="1" applyAlignment="1">
      <alignment vertical="center"/>
    </xf>
    <xf numFmtId="0" fontId="1" fillId="0" borderId="0" xfId="0" applyFont="1" applyAlignment="1">
      <alignment horizontal="left" vertical="center" indent="1"/>
    </xf>
    <xf numFmtId="0" fontId="5" fillId="0" borderId="1" xfId="0" applyFont="1" applyBorder="1" applyAlignment="1">
      <alignment vertical="center"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10" fillId="0" borderId="1" xfId="0" applyFont="1" applyBorder="1" applyAlignment="1">
      <alignment horizontal="center" vertical="top"/>
    </xf>
    <xf numFmtId="0" fontId="0" fillId="0" borderId="1" xfId="0" applyBorder="1" applyAlignment="1">
      <alignment horizontal="left" vertical="center" indent="1"/>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top" wrapText="1"/>
    </xf>
    <xf numFmtId="0" fontId="3" fillId="0" borderId="1" xfId="0" applyFont="1" applyBorder="1" applyAlignment="1">
      <alignment horizontal="left" vertical="top" wrapText="1"/>
    </xf>
    <xf numFmtId="0" fontId="0" fillId="0" borderId="1" xfId="0" applyBorder="1" applyAlignment="1">
      <alignment horizontal="justify" vertical="top" wrapText="1"/>
    </xf>
    <xf numFmtId="0" fontId="2" fillId="0" borderId="0" xfId="0" applyFont="1" applyAlignment="1">
      <alignment horizontal="center"/>
    </xf>
    <xf numFmtId="0" fontId="0" fillId="0" borderId="2" xfId="0" applyBorder="1" applyAlignment="1">
      <alignment horizontal="justify" vertical="top" wrapText="1"/>
    </xf>
    <xf numFmtId="0" fontId="0" fillId="0" borderId="0" xfId="0" applyAlignment="1">
      <alignment horizontal="justify" vertical="top" wrapText="1"/>
    </xf>
    <xf numFmtId="0" fontId="0" fillId="0" borderId="0" xfId="0" applyAlignment="1">
      <alignment horizontal="left" vertical="center" wrapText="1"/>
    </xf>
    <xf numFmtId="0" fontId="5" fillId="0" borderId="0" xfId="0" applyFont="1" applyAlignment="1">
      <alignment vertical="center" wrapText="1"/>
    </xf>
    <xf numFmtId="0" fontId="6" fillId="0" borderId="4" xfId="0" applyFont="1" applyBorder="1" applyAlignment="1">
      <alignment horizontal="center" vertical="top" wrapText="1"/>
    </xf>
    <xf numFmtId="0" fontId="6" fillId="0" borderId="0" xfId="0" applyFont="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0" fillId="0" borderId="1" xfId="0" applyBorder="1" applyAlignment="1">
      <alignment horizontal="center" vertical="top"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444753</xdr:colOff>
      <xdr:row>23</xdr:row>
      <xdr:rowOff>0</xdr:rowOff>
    </xdr:from>
    <xdr:to>
      <xdr:col>65</xdr:col>
      <xdr:colOff>426719</xdr:colOff>
      <xdr:row>61</xdr:row>
      <xdr:rowOff>116447</xdr:rowOff>
    </xdr:to>
    <xdr:pic>
      <xdr:nvPicPr>
        <xdr:cNvPr id="3" name="Picture 2">
          <a:extLst>
            <a:ext uri="{FF2B5EF4-FFF2-40B4-BE49-F238E27FC236}">
              <a16:creationId xmlns:a16="http://schemas.microsoft.com/office/drawing/2014/main" id="{D9B67573-C3A3-8CA8-EAC6-30B7B05559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051188" y="4572000"/>
          <a:ext cx="7138140" cy="7670186"/>
        </a:xfrm>
        <a:prstGeom prst="rect">
          <a:avLst/>
        </a:prstGeom>
      </xdr:spPr>
    </xdr:pic>
    <xdr:clientData/>
  </xdr:twoCellAnchor>
  <xdr:twoCellAnchor editAs="oneCell">
    <xdr:from>
      <xdr:col>69</xdr:col>
      <xdr:colOff>149026</xdr:colOff>
      <xdr:row>15</xdr:row>
      <xdr:rowOff>78076</xdr:rowOff>
    </xdr:from>
    <xdr:to>
      <xdr:col>96</xdr:col>
      <xdr:colOff>422490</xdr:colOff>
      <xdr:row>64</xdr:row>
      <xdr:rowOff>132522</xdr:rowOff>
    </xdr:to>
    <xdr:pic>
      <xdr:nvPicPr>
        <xdr:cNvPr id="5" name="Picture 4">
          <a:extLst>
            <a:ext uri="{FF2B5EF4-FFF2-40B4-BE49-F238E27FC236}">
              <a16:creationId xmlns:a16="http://schemas.microsoft.com/office/drawing/2014/main" id="{AD95AC83-6B2D-9AC9-49D5-2696975147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297026" y="3059815"/>
          <a:ext cx="16374855" cy="9794794"/>
        </a:xfrm>
        <a:prstGeom prst="rect">
          <a:avLst/>
        </a:prstGeom>
      </xdr:spPr>
    </xdr:pic>
    <xdr:clientData/>
  </xdr:twoCellAnchor>
  <xdr:twoCellAnchor editAs="oneCell">
    <xdr:from>
      <xdr:col>23</xdr:col>
      <xdr:colOff>11164</xdr:colOff>
      <xdr:row>16</xdr:row>
      <xdr:rowOff>197215</xdr:rowOff>
    </xdr:from>
    <xdr:to>
      <xdr:col>49</xdr:col>
      <xdr:colOff>1</xdr:colOff>
      <xdr:row>60</xdr:row>
      <xdr:rowOff>20893</xdr:rowOff>
    </xdr:to>
    <xdr:pic>
      <xdr:nvPicPr>
        <xdr:cNvPr id="7" name="Picture 6">
          <a:extLst>
            <a:ext uri="{FF2B5EF4-FFF2-40B4-BE49-F238E27FC236}">
              <a16:creationId xmlns:a16="http://schemas.microsoft.com/office/drawing/2014/main" id="{EDB611E1-75D1-2B92-27FF-195A7AEFE0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27164" y="3377737"/>
          <a:ext cx="15493880" cy="8570113"/>
        </a:xfrm>
        <a:prstGeom prst="rect">
          <a:avLst/>
        </a:prstGeom>
      </xdr:spPr>
    </xdr:pic>
    <xdr:clientData/>
  </xdr:twoCellAnchor>
  <xdr:twoCellAnchor editAs="oneCell">
    <xdr:from>
      <xdr:col>0</xdr:col>
      <xdr:colOff>166133</xdr:colOff>
      <xdr:row>39</xdr:row>
      <xdr:rowOff>75272</xdr:rowOff>
    </xdr:from>
    <xdr:to>
      <xdr:col>21</xdr:col>
      <xdr:colOff>200933</xdr:colOff>
      <xdr:row>79</xdr:row>
      <xdr:rowOff>33130</xdr:rowOff>
    </xdr:to>
    <xdr:pic>
      <xdr:nvPicPr>
        <xdr:cNvPr id="9" name="Picture 8">
          <a:extLst>
            <a:ext uri="{FF2B5EF4-FFF2-40B4-BE49-F238E27FC236}">
              <a16:creationId xmlns:a16="http://schemas.microsoft.com/office/drawing/2014/main" id="{B4F0E78A-777B-E604-39ED-965CFABFCD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6133" y="7827794"/>
          <a:ext cx="12558104" cy="7909162"/>
        </a:xfrm>
        <a:prstGeom prst="rect">
          <a:avLst/>
        </a:prstGeom>
      </xdr:spPr>
    </xdr:pic>
    <xdr:clientData/>
  </xdr:twoCellAnchor>
  <xdr:twoCellAnchor editAs="oneCell">
    <xdr:from>
      <xdr:col>0</xdr:col>
      <xdr:colOff>0</xdr:colOff>
      <xdr:row>2</xdr:row>
      <xdr:rowOff>7620</xdr:rowOff>
    </xdr:from>
    <xdr:to>
      <xdr:col>15</xdr:col>
      <xdr:colOff>336507</xdr:colOff>
      <xdr:row>28</xdr:row>
      <xdr:rowOff>33130</xdr:rowOff>
    </xdr:to>
    <xdr:pic>
      <xdr:nvPicPr>
        <xdr:cNvPr id="11" name="Picture 10">
          <a:extLst>
            <a:ext uri="{FF2B5EF4-FFF2-40B4-BE49-F238E27FC236}">
              <a16:creationId xmlns:a16="http://schemas.microsoft.com/office/drawing/2014/main" id="{838FA246-5592-6AA1-DCC0-B1C62BC7478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405185"/>
          <a:ext cx="9281724" cy="51938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8374-3A48-41E1-859E-A78AC797F085}">
  <dimension ref="A1:G15"/>
  <sheetViews>
    <sheetView workbookViewId="0">
      <selection activeCell="L6" sqref="L6"/>
    </sheetView>
  </sheetViews>
  <sheetFormatPr defaultColWidth="8.85546875" defaultRowHeight="15" x14ac:dyDescent="0.25"/>
  <sheetData>
    <row r="1" spans="1:7" x14ac:dyDescent="0.25">
      <c r="A1" t="s">
        <v>1</v>
      </c>
    </row>
    <row r="3" spans="1:7" x14ac:dyDescent="0.25">
      <c r="A3" t="s">
        <v>2</v>
      </c>
    </row>
    <row r="4" spans="1:7" ht="14.45" customHeight="1" x14ac:dyDescent="0.25">
      <c r="A4" s="38" t="s">
        <v>3</v>
      </c>
      <c r="B4" s="38"/>
      <c r="C4" s="38"/>
      <c r="D4" s="38"/>
      <c r="E4" s="38"/>
      <c r="F4" s="38"/>
      <c r="G4" s="38"/>
    </row>
    <row r="5" spans="1:7" x14ac:dyDescent="0.25">
      <c r="A5" s="38"/>
      <c r="B5" s="38"/>
      <c r="C5" s="38"/>
      <c r="D5" s="38"/>
      <c r="E5" s="38"/>
      <c r="F5" s="38"/>
      <c r="G5" s="38"/>
    </row>
    <row r="6" spans="1:7" x14ac:dyDescent="0.25">
      <c r="A6" s="38"/>
      <c r="B6" s="38"/>
      <c r="C6" s="38"/>
      <c r="D6" s="38"/>
      <c r="E6" s="38"/>
      <c r="F6" s="38"/>
      <c r="G6" s="38"/>
    </row>
    <row r="7" spans="1:7" x14ac:dyDescent="0.25">
      <c r="A7" s="38"/>
      <c r="B7" s="38"/>
      <c r="C7" s="38"/>
      <c r="D7" s="38"/>
      <c r="E7" s="38"/>
      <c r="F7" s="38"/>
      <c r="G7" s="38"/>
    </row>
    <row r="8" spans="1:7" x14ac:dyDescent="0.25">
      <c r="A8" s="38"/>
      <c r="B8" s="38"/>
      <c r="C8" s="38"/>
      <c r="D8" s="38"/>
      <c r="E8" s="38"/>
      <c r="F8" s="38"/>
      <c r="G8" s="38"/>
    </row>
    <row r="9" spans="1:7" x14ac:dyDescent="0.25">
      <c r="A9" s="38"/>
      <c r="B9" s="38"/>
      <c r="C9" s="38"/>
      <c r="D9" s="38"/>
      <c r="E9" s="38"/>
      <c r="F9" s="38"/>
      <c r="G9" s="38"/>
    </row>
    <row r="10" spans="1:7" x14ac:dyDescent="0.25">
      <c r="A10" s="38"/>
      <c r="B10" s="38"/>
      <c r="C10" s="38"/>
      <c r="D10" s="38"/>
      <c r="E10" s="38"/>
      <c r="F10" s="38"/>
      <c r="G10" s="38"/>
    </row>
    <row r="11" spans="1:7" x14ac:dyDescent="0.25">
      <c r="A11" s="38"/>
      <c r="B11" s="38"/>
      <c r="C11" s="38"/>
      <c r="D11" s="38"/>
      <c r="E11" s="38"/>
      <c r="F11" s="38"/>
      <c r="G11" s="38"/>
    </row>
    <row r="12" spans="1:7" x14ac:dyDescent="0.25">
      <c r="A12" s="38"/>
      <c r="B12" s="38"/>
      <c r="C12" s="38"/>
      <c r="D12" s="38"/>
      <c r="E12" s="38"/>
      <c r="F12" s="38"/>
      <c r="G12" s="38"/>
    </row>
    <row r="13" spans="1:7" x14ac:dyDescent="0.25">
      <c r="A13" s="38"/>
      <c r="B13" s="38"/>
      <c r="C13" s="38"/>
      <c r="D13" s="38"/>
      <c r="E13" s="38"/>
      <c r="F13" s="38"/>
      <c r="G13" s="38"/>
    </row>
    <row r="14" spans="1:7" x14ac:dyDescent="0.25">
      <c r="A14" s="38"/>
      <c r="B14" s="38"/>
      <c r="C14" s="38"/>
      <c r="D14" s="38"/>
      <c r="E14" s="38"/>
      <c r="F14" s="38"/>
      <c r="G14" s="38"/>
    </row>
    <row r="15" spans="1:7" x14ac:dyDescent="0.25">
      <c r="A15" s="38"/>
      <c r="B15" s="38"/>
      <c r="C15" s="38"/>
      <c r="D15" s="38"/>
      <c r="E15" s="38"/>
      <c r="F15" s="38"/>
      <c r="G15" s="38"/>
    </row>
  </sheetData>
  <mergeCells count="1">
    <mergeCell ref="A4:G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A667-C556-4DC4-97E0-2155D9E5B842}">
  <dimension ref="A1:K15"/>
  <sheetViews>
    <sheetView workbookViewId="0">
      <selection activeCell="L6" sqref="L6"/>
    </sheetView>
  </sheetViews>
  <sheetFormatPr defaultColWidth="8.85546875" defaultRowHeight="15" x14ac:dyDescent="0.25"/>
  <sheetData>
    <row r="1" spans="1:11" ht="18.75" x14ac:dyDescent="0.3">
      <c r="A1" s="39" t="s">
        <v>0</v>
      </c>
      <c r="B1" s="39"/>
      <c r="C1" s="39"/>
      <c r="D1" s="39"/>
      <c r="E1" s="39"/>
      <c r="F1" s="39"/>
      <c r="G1" s="39"/>
      <c r="H1" s="39"/>
      <c r="I1" s="39"/>
      <c r="J1" s="39"/>
      <c r="K1" s="39"/>
    </row>
    <row r="3" spans="1:11" x14ac:dyDescent="0.25">
      <c r="A3" s="1" t="s">
        <v>4</v>
      </c>
    </row>
    <row r="4" spans="1:11" x14ac:dyDescent="0.25">
      <c r="A4" s="1" t="s">
        <v>5</v>
      </c>
    </row>
    <row r="5" spans="1:11" ht="14.45" customHeight="1" x14ac:dyDescent="0.25">
      <c r="A5" s="40" t="s">
        <v>6</v>
      </c>
      <c r="B5" s="41"/>
      <c r="C5" s="41"/>
      <c r="D5" s="41"/>
      <c r="E5" s="41"/>
      <c r="F5" s="41"/>
      <c r="G5" s="41"/>
      <c r="H5" s="41"/>
      <c r="I5" s="41"/>
      <c r="J5" s="41"/>
    </row>
    <row r="6" spans="1:11" ht="88.35" customHeight="1" x14ac:dyDescent="0.25">
      <c r="A6" s="40"/>
      <c r="B6" s="41"/>
      <c r="C6" s="41"/>
      <c r="D6" s="41"/>
      <c r="E6" s="41"/>
      <c r="F6" s="41"/>
      <c r="G6" s="41"/>
      <c r="H6" s="41"/>
      <c r="I6" s="41"/>
      <c r="J6" s="41"/>
    </row>
    <row r="7" spans="1:11" x14ac:dyDescent="0.25">
      <c r="A7" s="1" t="s">
        <v>7</v>
      </c>
    </row>
    <row r="8" spans="1:11" ht="14.45" customHeight="1" x14ac:dyDescent="0.25">
      <c r="A8" s="38" t="s">
        <v>8</v>
      </c>
      <c r="B8" s="38"/>
      <c r="C8" s="38"/>
      <c r="D8" s="38"/>
      <c r="E8" s="38"/>
      <c r="F8" s="38"/>
      <c r="G8" s="38"/>
      <c r="H8" s="38"/>
      <c r="I8" s="38"/>
      <c r="J8" s="38"/>
    </row>
    <row r="9" spans="1:11" ht="100.35" customHeight="1" x14ac:dyDescent="0.25">
      <c r="A9" s="38"/>
      <c r="B9" s="38"/>
      <c r="C9" s="38"/>
      <c r="D9" s="38"/>
      <c r="E9" s="38"/>
      <c r="F9" s="38"/>
      <c r="G9" s="38"/>
      <c r="H9" s="38"/>
      <c r="I9" s="38"/>
      <c r="J9" s="38"/>
    </row>
    <row r="10" spans="1:11" x14ac:dyDescent="0.25">
      <c r="A10" s="1" t="s">
        <v>9</v>
      </c>
    </row>
    <row r="11" spans="1:11" x14ac:dyDescent="0.25">
      <c r="A11" s="38" t="s">
        <v>10</v>
      </c>
      <c r="B11" s="38"/>
      <c r="C11" s="38"/>
      <c r="D11" s="38"/>
      <c r="E11" s="38"/>
      <c r="F11" s="38"/>
      <c r="G11" s="38"/>
      <c r="H11" s="38"/>
      <c r="I11" s="38"/>
      <c r="J11" s="38"/>
    </row>
    <row r="12" spans="1:11" x14ac:dyDescent="0.25">
      <c r="A12" s="38"/>
      <c r="B12" s="38"/>
      <c r="C12" s="38"/>
      <c r="D12" s="38"/>
      <c r="E12" s="38"/>
      <c r="F12" s="38"/>
      <c r="G12" s="38"/>
      <c r="H12" s="38"/>
      <c r="I12" s="38"/>
      <c r="J12" s="38"/>
    </row>
    <row r="13" spans="1:11" x14ac:dyDescent="0.25">
      <c r="A13" s="1" t="s">
        <v>11</v>
      </c>
    </row>
    <row r="14" spans="1:11" x14ac:dyDescent="0.25">
      <c r="A14" s="38" t="s">
        <v>12</v>
      </c>
      <c r="B14" s="38"/>
      <c r="C14" s="38"/>
      <c r="D14" s="38"/>
      <c r="E14" s="38"/>
      <c r="F14" s="38"/>
      <c r="G14" s="38"/>
      <c r="H14" s="38"/>
      <c r="I14" s="38"/>
      <c r="J14" s="38"/>
      <c r="K14" s="38"/>
    </row>
    <row r="15" spans="1:11" ht="88.35" customHeight="1" x14ac:dyDescent="0.25">
      <c r="A15" s="38"/>
      <c r="B15" s="38"/>
      <c r="C15" s="38"/>
      <c r="D15" s="38"/>
      <c r="E15" s="38"/>
      <c r="F15" s="38"/>
      <c r="G15" s="38"/>
      <c r="H15" s="38"/>
      <c r="I15" s="38"/>
      <c r="J15" s="38"/>
      <c r="K15" s="38"/>
    </row>
  </sheetData>
  <mergeCells count="5">
    <mergeCell ref="A1:K1"/>
    <mergeCell ref="A5:J6"/>
    <mergeCell ref="A8:J9"/>
    <mergeCell ref="A11:J12"/>
    <mergeCell ref="A14:K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14C6-1105-4106-B9D9-03D8A58B28F9}">
  <dimension ref="A3:I57"/>
  <sheetViews>
    <sheetView topLeftCell="A33" workbookViewId="0">
      <selection activeCell="B36" sqref="B36:B41"/>
    </sheetView>
  </sheetViews>
  <sheetFormatPr defaultColWidth="8.85546875" defaultRowHeight="15" x14ac:dyDescent="0.25"/>
  <cols>
    <col min="1" max="1" width="3.28515625" bestFit="1" customWidth="1"/>
    <col min="2" max="2" width="15.42578125" customWidth="1"/>
    <col min="3" max="3" width="17.85546875" bestFit="1" customWidth="1"/>
    <col min="4" max="4" width="22.85546875" bestFit="1" customWidth="1"/>
  </cols>
  <sheetData>
    <row r="3" spans="1:4" x14ac:dyDescent="0.25">
      <c r="A3" t="s">
        <v>13</v>
      </c>
    </row>
    <row r="4" spans="1:4" ht="30" x14ac:dyDescent="0.25">
      <c r="A4">
        <v>1</v>
      </c>
      <c r="B4" s="7" t="s">
        <v>14</v>
      </c>
      <c r="C4" t="s">
        <v>15</v>
      </c>
    </row>
    <row r="5" spans="1:4" x14ac:dyDescent="0.25">
      <c r="C5" t="s">
        <v>16</v>
      </c>
      <c r="D5" t="s">
        <v>17</v>
      </c>
    </row>
    <row r="6" spans="1:4" x14ac:dyDescent="0.25">
      <c r="D6" t="s">
        <v>18</v>
      </c>
    </row>
    <row r="7" spans="1:4" x14ac:dyDescent="0.25">
      <c r="D7" t="s">
        <v>19</v>
      </c>
    </row>
    <row r="8" spans="1:4" x14ac:dyDescent="0.25">
      <c r="C8" t="s">
        <v>20</v>
      </c>
      <c r="D8" t="s">
        <v>32</v>
      </c>
    </row>
    <row r="9" spans="1:4" x14ac:dyDescent="0.25">
      <c r="D9" t="s">
        <v>33</v>
      </c>
    </row>
    <row r="10" spans="1:4" x14ac:dyDescent="0.25">
      <c r="D10" t="s">
        <v>34</v>
      </c>
    </row>
    <row r="11" spans="1:4" x14ac:dyDescent="0.25">
      <c r="D11" t="s">
        <v>35</v>
      </c>
    </row>
    <row r="12" spans="1:4" x14ac:dyDescent="0.25">
      <c r="D12" t="s">
        <v>36</v>
      </c>
    </row>
    <row r="13" spans="1:4" x14ac:dyDescent="0.25">
      <c r="D13" t="s">
        <v>37</v>
      </c>
    </row>
    <row r="14" spans="1:4" x14ac:dyDescent="0.25">
      <c r="C14" t="s">
        <v>21</v>
      </c>
      <c r="D14" t="s">
        <v>23</v>
      </c>
    </row>
    <row r="15" spans="1:4" x14ac:dyDescent="0.25">
      <c r="D15" t="s">
        <v>24</v>
      </c>
    </row>
    <row r="16" spans="1:4" x14ac:dyDescent="0.25">
      <c r="D16" t="s">
        <v>25</v>
      </c>
    </row>
    <row r="17" spans="1:4" x14ac:dyDescent="0.25">
      <c r="D17" t="s">
        <v>26</v>
      </c>
    </row>
    <row r="18" spans="1:4" x14ac:dyDescent="0.25">
      <c r="D18" t="s">
        <v>27</v>
      </c>
    </row>
    <row r="19" spans="1:4" x14ac:dyDescent="0.25">
      <c r="D19" t="s">
        <v>28</v>
      </c>
    </row>
    <row r="20" spans="1:4" x14ac:dyDescent="0.25">
      <c r="D20" t="s">
        <v>29</v>
      </c>
    </row>
    <row r="21" spans="1:4" x14ac:dyDescent="0.25">
      <c r="D21" t="s">
        <v>30</v>
      </c>
    </row>
    <row r="22" spans="1:4" x14ac:dyDescent="0.25">
      <c r="D22" t="s">
        <v>31</v>
      </c>
    </row>
    <row r="23" spans="1:4" x14ac:dyDescent="0.25">
      <c r="C23" t="s">
        <v>22</v>
      </c>
      <c r="D23" t="s">
        <v>38</v>
      </c>
    </row>
    <row r="24" spans="1:4" x14ac:dyDescent="0.25">
      <c r="D24" t="s">
        <v>39</v>
      </c>
    </row>
    <row r="25" spans="1:4" x14ac:dyDescent="0.25">
      <c r="D25" t="s">
        <v>40</v>
      </c>
    </row>
    <row r="26" spans="1:4" x14ac:dyDescent="0.25">
      <c r="D26" t="s">
        <v>41</v>
      </c>
    </row>
    <row r="27" spans="1:4" x14ac:dyDescent="0.25">
      <c r="D27" t="s">
        <v>42</v>
      </c>
    </row>
    <row r="28" spans="1:4" x14ac:dyDescent="0.25">
      <c r="D28" t="s">
        <v>43</v>
      </c>
    </row>
    <row r="29" spans="1:4" x14ac:dyDescent="0.25">
      <c r="D29" t="s">
        <v>44</v>
      </c>
    </row>
    <row r="30" spans="1:4" x14ac:dyDescent="0.25">
      <c r="D30" t="s">
        <v>19</v>
      </c>
    </row>
    <row r="31" spans="1:4" x14ac:dyDescent="0.25">
      <c r="A31" t="s">
        <v>45</v>
      </c>
      <c r="B31" s="1" t="s">
        <v>46</v>
      </c>
    </row>
    <row r="32" spans="1:4" x14ac:dyDescent="0.25">
      <c r="B32" s="2" t="s">
        <v>47</v>
      </c>
    </row>
    <row r="33" spans="1:9" x14ac:dyDescent="0.25">
      <c r="B33" s="4" t="s">
        <v>48</v>
      </c>
    </row>
    <row r="34" spans="1:9" x14ac:dyDescent="0.25">
      <c r="B34" s="4" t="s">
        <v>49</v>
      </c>
    </row>
    <row r="35" spans="1:9" x14ac:dyDescent="0.25">
      <c r="B35" s="5"/>
    </row>
    <row r="36" spans="1:9" x14ac:dyDescent="0.25">
      <c r="B36" s="6" t="s">
        <v>50</v>
      </c>
    </row>
    <row r="37" spans="1:9" x14ac:dyDescent="0.25">
      <c r="B37" s="6" t="s">
        <v>51</v>
      </c>
    </row>
    <row r="38" spans="1:9" x14ac:dyDescent="0.25">
      <c r="B38" s="6" t="s">
        <v>52</v>
      </c>
    </row>
    <row r="39" spans="1:9" x14ac:dyDescent="0.25">
      <c r="B39" s="6" t="s">
        <v>53</v>
      </c>
    </row>
    <row r="40" spans="1:9" x14ac:dyDescent="0.25">
      <c r="B40" s="6" t="s">
        <v>54</v>
      </c>
    </row>
    <row r="41" spans="1:9" x14ac:dyDescent="0.25">
      <c r="B41" s="6" t="s">
        <v>55</v>
      </c>
    </row>
    <row r="42" spans="1:9" x14ac:dyDescent="0.25">
      <c r="B42" s="3"/>
    </row>
    <row r="43" spans="1:9" x14ac:dyDescent="0.25">
      <c r="B43" s="4" t="s">
        <v>56</v>
      </c>
    </row>
    <row r="44" spans="1:9" x14ac:dyDescent="0.25">
      <c r="A44">
        <v>1</v>
      </c>
      <c r="B44" s="8" t="s">
        <v>57</v>
      </c>
      <c r="C44" s="8"/>
      <c r="D44" s="8"/>
      <c r="E44" s="8"/>
      <c r="F44" s="8"/>
      <c r="G44" s="8"/>
      <c r="H44" s="8"/>
      <c r="I44" s="8"/>
    </row>
    <row r="45" spans="1:9" ht="34.700000000000003" customHeight="1" x14ac:dyDescent="0.25">
      <c r="A45">
        <v>2</v>
      </c>
      <c r="B45" s="42" t="s">
        <v>58</v>
      </c>
      <c r="C45" s="42"/>
      <c r="D45" s="42"/>
      <c r="E45" s="42"/>
      <c r="F45" s="42"/>
      <c r="G45" s="42"/>
      <c r="H45" s="42"/>
      <c r="I45" s="9"/>
    </row>
    <row r="46" spans="1:9" x14ac:dyDescent="0.25">
      <c r="A46">
        <v>3</v>
      </c>
      <c r="B46" t="s">
        <v>59</v>
      </c>
    </row>
    <row r="47" spans="1:9" x14ac:dyDescent="0.25">
      <c r="A47">
        <v>4</v>
      </c>
      <c r="B47" t="s">
        <v>60</v>
      </c>
    </row>
    <row r="48" spans="1:9" x14ac:dyDescent="0.25">
      <c r="A48">
        <v>5</v>
      </c>
      <c r="B48" t="s">
        <v>61</v>
      </c>
    </row>
    <row r="49" spans="1:2" x14ac:dyDescent="0.25">
      <c r="A49">
        <v>6</v>
      </c>
      <c r="B49" t="s">
        <v>62</v>
      </c>
    </row>
    <row r="50" spans="1:2" x14ac:dyDescent="0.25">
      <c r="A50">
        <v>7</v>
      </c>
      <c r="B50" t="s">
        <v>63</v>
      </c>
    </row>
    <row r="51" spans="1:2" x14ac:dyDescent="0.25">
      <c r="A51">
        <v>8</v>
      </c>
      <c r="B51" t="s">
        <v>64</v>
      </c>
    </row>
    <row r="52" spans="1:2" x14ac:dyDescent="0.25">
      <c r="A52">
        <v>9</v>
      </c>
      <c r="B52" t="s">
        <v>65</v>
      </c>
    </row>
    <row r="53" spans="1:2" x14ac:dyDescent="0.25">
      <c r="A53">
        <v>10</v>
      </c>
      <c r="B53" t="s">
        <v>66</v>
      </c>
    </row>
    <row r="54" spans="1:2" x14ac:dyDescent="0.25">
      <c r="A54">
        <v>11</v>
      </c>
      <c r="B54" t="s">
        <v>67</v>
      </c>
    </row>
    <row r="55" spans="1:2" x14ac:dyDescent="0.25">
      <c r="A55">
        <v>12</v>
      </c>
      <c r="B55" t="s">
        <v>68</v>
      </c>
    </row>
    <row r="56" spans="1:2" x14ac:dyDescent="0.25">
      <c r="A56">
        <v>13</v>
      </c>
      <c r="B56" t="s">
        <v>69</v>
      </c>
    </row>
    <row r="57" spans="1:2" x14ac:dyDescent="0.25">
      <c r="A57">
        <v>14</v>
      </c>
      <c r="B57" t="s">
        <v>70</v>
      </c>
    </row>
  </sheetData>
  <mergeCells count="1">
    <mergeCell ref="B45:H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49C5-6876-43C4-B952-92EE964B7DAB}">
  <dimension ref="A3:M24"/>
  <sheetViews>
    <sheetView tabSelected="1" workbookViewId="0">
      <selection activeCell="A3" sqref="A3:D3"/>
    </sheetView>
  </sheetViews>
  <sheetFormatPr defaultColWidth="8.85546875" defaultRowHeight="15" x14ac:dyDescent="0.25"/>
  <cols>
    <col min="1" max="1" width="28.140625" customWidth="1"/>
    <col min="2" max="2" width="24.140625" customWidth="1"/>
    <col min="3" max="3" width="15.85546875" customWidth="1"/>
    <col min="8" max="8" width="3.85546875" customWidth="1"/>
    <col min="9" max="9" width="54.85546875" customWidth="1"/>
  </cols>
  <sheetData>
    <row r="3" spans="1:13" ht="47.45" customHeight="1" thickBot="1" x14ac:dyDescent="0.3">
      <c r="A3" s="44" t="s">
        <v>71</v>
      </c>
      <c r="B3" s="44"/>
      <c r="C3" s="44"/>
      <c r="D3" s="44"/>
    </row>
    <row r="4" spans="1:13" ht="15.75" x14ac:dyDescent="0.25">
      <c r="A4" s="12" t="s">
        <v>72</v>
      </c>
      <c r="B4" s="13" t="s">
        <v>73</v>
      </c>
      <c r="C4" s="13" t="s">
        <v>74</v>
      </c>
      <c r="D4" s="13" t="s">
        <v>75</v>
      </c>
    </row>
    <row r="5" spans="1:13" ht="47.25" x14ac:dyDescent="0.25">
      <c r="A5" s="46" t="s">
        <v>76</v>
      </c>
      <c r="B5" s="14" t="s">
        <v>90</v>
      </c>
      <c r="C5" s="15" t="s">
        <v>77</v>
      </c>
      <c r="D5" s="15">
        <v>4</v>
      </c>
    </row>
    <row r="6" spans="1:13" ht="31.5" x14ac:dyDescent="0.25">
      <c r="A6" s="47"/>
      <c r="B6" s="14" t="s">
        <v>91</v>
      </c>
      <c r="C6" s="15" t="s">
        <v>87</v>
      </c>
      <c r="D6" s="15">
        <v>3</v>
      </c>
    </row>
    <row r="7" spans="1:13" ht="47.25" x14ac:dyDescent="0.25">
      <c r="A7" s="47"/>
      <c r="B7" s="14" t="s">
        <v>92</v>
      </c>
      <c r="C7" s="15" t="s">
        <v>88</v>
      </c>
      <c r="D7" s="15">
        <v>4</v>
      </c>
    </row>
    <row r="8" spans="1:13" ht="47.25" x14ac:dyDescent="0.25">
      <c r="A8" s="48"/>
      <c r="B8" s="14" t="s">
        <v>93</v>
      </c>
      <c r="C8" s="15" t="s">
        <v>78</v>
      </c>
      <c r="D8" s="15">
        <v>3</v>
      </c>
    </row>
    <row r="9" spans="1:13" ht="15" customHeight="1" x14ac:dyDescent="0.25">
      <c r="A9" s="19"/>
      <c r="B9" s="16"/>
    </row>
    <row r="10" spans="1:13" ht="15.75" x14ac:dyDescent="0.25">
      <c r="A10" s="43"/>
      <c r="B10" s="10"/>
      <c r="C10" s="11"/>
      <c r="D10" s="11"/>
      <c r="H10" s="30" t="s">
        <v>13</v>
      </c>
      <c r="I10" s="30" t="s">
        <v>89</v>
      </c>
      <c r="J10" s="30" t="s">
        <v>94</v>
      </c>
      <c r="K10" s="30" t="s">
        <v>95</v>
      </c>
      <c r="L10" s="30" t="s">
        <v>96</v>
      </c>
      <c r="M10" s="30" t="s">
        <v>97</v>
      </c>
    </row>
    <row r="11" spans="1:13" ht="30" x14ac:dyDescent="0.25">
      <c r="A11" s="43"/>
      <c r="B11" s="10"/>
      <c r="C11" s="11"/>
      <c r="D11" s="11"/>
      <c r="H11" s="23">
        <v>1</v>
      </c>
      <c r="I11" s="24" t="s">
        <v>57</v>
      </c>
      <c r="J11" s="25"/>
      <c r="K11" s="26"/>
      <c r="L11" s="26"/>
      <c r="M11" s="26"/>
    </row>
    <row r="12" spans="1:13" ht="45" x14ac:dyDescent="0.25">
      <c r="A12" s="43"/>
      <c r="B12" s="10"/>
      <c r="C12" s="11"/>
      <c r="D12" s="11"/>
      <c r="H12" s="23">
        <v>2</v>
      </c>
      <c r="I12" s="23" t="s">
        <v>58</v>
      </c>
      <c r="J12" s="25"/>
      <c r="K12" s="26"/>
      <c r="L12" s="26"/>
      <c r="M12" s="26"/>
    </row>
    <row r="13" spans="1:13" ht="45" x14ac:dyDescent="0.25">
      <c r="A13" s="43"/>
      <c r="B13" s="10"/>
      <c r="C13" s="11"/>
      <c r="D13" s="11"/>
      <c r="H13" s="23">
        <v>3</v>
      </c>
      <c r="I13" s="23" t="s">
        <v>59</v>
      </c>
      <c r="J13" s="25"/>
      <c r="K13" s="26"/>
      <c r="L13" s="26"/>
      <c r="M13" s="26"/>
    </row>
    <row r="14" spans="1:13" ht="45" x14ac:dyDescent="0.25">
      <c r="A14" s="43"/>
      <c r="B14" s="10"/>
      <c r="C14" s="11"/>
      <c r="D14" s="11"/>
      <c r="H14" s="23">
        <v>4</v>
      </c>
      <c r="I14" s="23" t="s">
        <v>60</v>
      </c>
      <c r="J14" s="25"/>
      <c r="K14" s="26"/>
      <c r="L14" s="26"/>
      <c r="M14" s="26"/>
    </row>
    <row r="15" spans="1:13" ht="15.6" customHeight="1" x14ac:dyDescent="0.25">
      <c r="A15" s="45" t="s">
        <v>86</v>
      </c>
      <c r="B15" s="45"/>
      <c r="H15" s="23">
        <v>5</v>
      </c>
      <c r="I15" s="23" t="s">
        <v>61</v>
      </c>
      <c r="J15" s="26"/>
      <c r="K15" s="27"/>
      <c r="L15" s="26"/>
      <c r="M15" s="26"/>
    </row>
    <row r="16" spans="1:13" ht="45" x14ac:dyDescent="0.25">
      <c r="A16" s="45"/>
      <c r="B16" s="45"/>
      <c r="H16" s="23">
        <v>6</v>
      </c>
      <c r="I16" s="23" t="s">
        <v>62</v>
      </c>
      <c r="J16" s="26"/>
      <c r="K16" s="27"/>
      <c r="L16" s="26"/>
      <c r="M16" s="26"/>
    </row>
    <row r="17" spans="1:13" ht="30" x14ac:dyDescent="0.25">
      <c r="A17" s="45"/>
      <c r="B17" s="45"/>
      <c r="H17" s="23">
        <v>7</v>
      </c>
      <c r="I17" s="23" t="s">
        <v>63</v>
      </c>
      <c r="J17" s="26"/>
      <c r="K17" s="27"/>
      <c r="L17" s="26"/>
      <c r="M17" s="26"/>
    </row>
    <row r="18" spans="1:13" ht="60" x14ac:dyDescent="0.25">
      <c r="H18" s="23">
        <v>8</v>
      </c>
      <c r="I18" s="23" t="s">
        <v>64</v>
      </c>
      <c r="J18" s="26"/>
      <c r="K18" s="26"/>
      <c r="L18" s="28"/>
      <c r="M18" s="26"/>
    </row>
    <row r="19" spans="1:13" ht="30" x14ac:dyDescent="0.25">
      <c r="H19" s="23">
        <v>9</v>
      </c>
      <c r="I19" s="23" t="s">
        <v>65</v>
      </c>
      <c r="J19" s="26"/>
      <c r="K19" s="26"/>
      <c r="L19" s="28"/>
      <c r="M19" s="26"/>
    </row>
    <row r="20" spans="1:13" ht="45" x14ac:dyDescent="0.25">
      <c r="H20" s="23">
        <v>10</v>
      </c>
      <c r="I20" s="23" t="s">
        <v>66</v>
      </c>
      <c r="J20" s="26"/>
      <c r="K20" s="26"/>
      <c r="L20" s="28"/>
      <c r="M20" s="26"/>
    </row>
    <row r="21" spans="1:13" ht="30" x14ac:dyDescent="0.25">
      <c r="H21" s="23">
        <v>11</v>
      </c>
      <c r="I21" s="23" t="s">
        <v>67</v>
      </c>
      <c r="J21" s="26"/>
      <c r="K21" s="26"/>
      <c r="L21" s="28"/>
      <c r="M21" s="26"/>
    </row>
    <row r="22" spans="1:13" ht="45" x14ac:dyDescent="0.25">
      <c r="H22" s="23">
        <v>12</v>
      </c>
      <c r="I22" s="23" t="s">
        <v>68</v>
      </c>
      <c r="J22" s="26"/>
      <c r="K22" s="26"/>
      <c r="L22" s="26"/>
      <c r="M22" s="29"/>
    </row>
    <row r="23" spans="1:13" ht="30" x14ac:dyDescent="0.25">
      <c r="H23" s="23">
        <v>13</v>
      </c>
      <c r="I23" s="23" t="s">
        <v>69</v>
      </c>
      <c r="J23" s="26"/>
      <c r="K23" s="26"/>
      <c r="L23" s="26"/>
      <c r="M23" s="29"/>
    </row>
    <row r="24" spans="1:13" ht="30" x14ac:dyDescent="0.25">
      <c r="H24" s="23">
        <v>14</v>
      </c>
      <c r="I24" s="23" t="s">
        <v>70</v>
      </c>
      <c r="J24" s="26"/>
      <c r="K24" s="26"/>
      <c r="L24" s="26"/>
      <c r="M24" s="29"/>
    </row>
  </sheetData>
  <mergeCells count="4">
    <mergeCell ref="A10:A14"/>
    <mergeCell ref="A3:D3"/>
    <mergeCell ref="A15:B17"/>
    <mergeCell ref="A5:A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4A99F-3675-4BC3-9810-9EE4FB4E45F4}">
  <dimension ref="B1:M26"/>
  <sheetViews>
    <sheetView topLeftCell="A8" zoomScale="83" workbookViewId="0">
      <selection activeCell="E20" sqref="E20:E23"/>
    </sheetView>
  </sheetViews>
  <sheetFormatPr defaultColWidth="8.85546875" defaultRowHeight="15" x14ac:dyDescent="0.25"/>
  <cols>
    <col min="3" max="3" width="48" bestFit="1" customWidth="1"/>
    <col min="4" max="4" width="24.28515625" bestFit="1" customWidth="1"/>
    <col min="5" max="5" width="11.7109375" bestFit="1" customWidth="1"/>
    <col min="6" max="6" width="11.7109375" customWidth="1"/>
    <col min="8" max="8" width="16.28515625" customWidth="1"/>
    <col min="12" max="12" width="20" bestFit="1" customWidth="1"/>
  </cols>
  <sheetData>
    <row r="1" spans="2:13" ht="15.75" x14ac:dyDescent="0.25">
      <c r="B1" s="17" t="s">
        <v>79</v>
      </c>
    </row>
    <row r="2" spans="2:13" x14ac:dyDescent="0.25">
      <c r="B2" s="5"/>
    </row>
    <row r="3" spans="2:13" x14ac:dyDescent="0.25">
      <c r="B3" s="18" t="s">
        <v>80</v>
      </c>
    </row>
    <row r="4" spans="2:13" x14ac:dyDescent="0.25">
      <c r="B4" s="5" t="s">
        <v>81</v>
      </c>
    </row>
    <row r="5" spans="2:13" x14ac:dyDescent="0.25">
      <c r="B5" s="5"/>
    </row>
    <row r="6" spans="2:13" x14ac:dyDescent="0.25">
      <c r="B6" s="18" t="s">
        <v>82</v>
      </c>
    </row>
    <row r="7" spans="2:13" x14ac:dyDescent="0.25">
      <c r="B7" s="5" t="s">
        <v>83</v>
      </c>
    </row>
    <row r="8" spans="2:13" x14ac:dyDescent="0.25">
      <c r="B8" s="5"/>
    </row>
    <row r="9" spans="2:13" x14ac:dyDescent="0.25">
      <c r="B9" s="18" t="s">
        <v>84</v>
      </c>
    </row>
    <row r="10" spans="2:13" x14ac:dyDescent="0.25">
      <c r="B10" s="5" t="s">
        <v>85</v>
      </c>
    </row>
    <row r="12" spans="2:13" x14ac:dyDescent="0.25">
      <c r="B12" s="31" t="s">
        <v>13</v>
      </c>
      <c r="C12" s="26" t="s">
        <v>99</v>
      </c>
      <c r="D12" s="26" t="s">
        <v>98</v>
      </c>
      <c r="E12" s="26" t="s">
        <v>105</v>
      </c>
      <c r="F12" s="26"/>
      <c r="G12" s="26" t="s">
        <v>104</v>
      </c>
      <c r="H12" s="26"/>
    </row>
    <row r="13" spans="2:13" ht="44.1" customHeight="1" x14ac:dyDescent="0.25">
      <c r="B13" s="16">
        <v>1</v>
      </c>
      <c r="C13" s="32" t="s">
        <v>57</v>
      </c>
      <c r="D13" s="35">
        <v>5</v>
      </c>
      <c r="E13" s="50">
        <f>SUM(D13:D16)</f>
        <v>15</v>
      </c>
      <c r="F13" s="51">
        <f>(E13-4)/(24-4)*100</f>
        <v>55.000000000000007</v>
      </c>
      <c r="G13" s="54" t="s">
        <v>100</v>
      </c>
      <c r="H13" s="49" t="s">
        <v>109</v>
      </c>
      <c r="I13" s="20"/>
      <c r="J13" s="20"/>
      <c r="L13" s="37" t="s">
        <v>50</v>
      </c>
      <c r="M13" s="33">
        <v>6</v>
      </c>
    </row>
    <row r="14" spans="2:13" ht="39.950000000000003" customHeight="1" x14ac:dyDescent="0.25">
      <c r="B14" s="16">
        <v>2</v>
      </c>
      <c r="C14" s="16" t="s">
        <v>58</v>
      </c>
      <c r="D14" s="35">
        <v>6</v>
      </c>
      <c r="E14" s="50"/>
      <c r="F14" s="52"/>
      <c r="G14" s="54"/>
      <c r="H14" s="49"/>
      <c r="I14" s="21"/>
      <c r="J14" s="21"/>
      <c r="L14" s="37" t="s">
        <v>51</v>
      </c>
      <c r="M14" s="33">
        <v>5</v>
      </c>
    </row>
    <row r="15" spans="2:13" ht="32.1" customHeight="1" x14ac:dyDescent="0.25">
      <c r="B15" s="16">
        <v>3</v>
      </c>
      <c r="C15" s="16" t="s">
        <v>59</v>
      </c>
      <c r="D15" s="34">
        <v>1</v>
      </c>
      <c r="E15" s="50"/>
      <c r="F15" s="52"/>
      <c r="G15" s="54"/>
      <c r="H15" s="49"/>
      <c r="I15" s="22"/>
      <c r="J15" s="22"/>
      <c r="L15" s="37" t="s">
        <v>52</v>
      </c>
      <c r="M15" s="33">
        <v>4</v>
      </c>
    </row>
    <row r="16" spans="2:13" ht="45" x14ac:dyDescent="0.25">
      <c r="B16" s="16">
        <v>4</v>
      </c>
      <c r="C16" s="16" t="s">
        <v>60</v>
      </c>
      <c r="D16" s="34">
        <v>3</v>
      </c>
      <c r="E16" s="50"/>
      <c r="F16" s="53"/>
      <c r="G16" s="54"/>
      <c r="H16" s="49"/>
      <c r="I16" s="22"/>
      <c r="J16" s="22"/>
      <c r="L16" s="37" t="s">
        <v>53</v>
      </c>
      <c r="M16" s="33">
        <v>3</v>
      </c>
    </row>
    <row r="17" spans="2:13" ht="45" x14ac:dyDescent="0.25">
      <c r="B17" s="16">
        <v>5</v>
      </c>
      <c r="C17" s="16" t="s">
        <v>61</v>
      </c>
      <c r="D17" s="34">
        <v>1</v>
      </c>
      <c r="E17" s="50">
        <f>SUM(D17:D19)</f>
        <v>8</v>
      </c>
      <c r="F17" s="51">
        <f>(E17-3)/(18-3)*100</f>
        <v>33.333333333333329</v>
      </c>
      <c r="G17" s="50" t="s">
        <v>101</v>
      </c>
      <c r="H17" s="49" t="s">
        <v>106</v>
      </c>
      <c r="I17" s="22"/>
      <c r="J17" s="22"/>
      <c r="L17" s="37" t="s">
        <v>54</v>
      </c>
      <c r="M17" s="33">
        <v>2</v>
      </c>
    </row>
    <row r="18" spans="2:13" ht="45" x14ac:dyDescent="0.25">
      <c r="B18" s="16">
        <v>6</v>
      </c>
      <c r="C18" s="16" t="s">
        <v>62</v>
      </c>
      <c r="D18" s="34">
        <v>2</v>
      </c>
      <c r="E18" s="50"/>
      <c r="F18" s="52"/>
      <c r="G18" s="50"/>
      <c r="H18" s="49"/>
      <c r="I18" s="22"/>
      <c r="J18" s="22"/>
      <c r="L18" s="37" t="s">
        <v>55</v>
      </c>
      <c r="M18" s="33">
        <v>1</v>
      </c>
    </row>
    <row r="19" spans="2:13" ht="30" x14ac:dyDescent="0.25">
      <c r="B19" s="16">
        <v>7</v>
      </c>
      <c r="C19" s="16" t="s">
        <v>63</v>
      </c>
      <c r="D19" s="34">
        <v>5</v>
      </c>
      <c r="E19" s="50"/>
      <c r="F19" s="53"/>
      <c r="G19" s="50"/>
      <c r="H19" s="49"/>
      <c r="I19" s="22"/>
      <c r="J19" s="22"/>
    </row>
    <row r="20" spans="2:13" ht="60" x14ac:dyDescent="0.25">
      <c r="B20" s="16">
        <v>8</v>
      </c>
      <c r="C20" s="16" t="s">
        <v>64</v>
      </c>
      <c r="D20" s="36">
        <v>2</v>
      </c>
      <c r="E20" s="50">
        <f>SUM(D20:D23)</f>
        <v>10</v>
      </c>
      <c r="F20" s="51">
        <f>(E20-5)/(30-5)*100</f>
        <v>20</v>
      </c>
      <c r="G20" s="50" t="s">
        <v>102</v>
      </c>
      <c r="H20" s="49" t="s">
        <v>107</v>
      </c>
      <c r="I20" s="22"/>
      <c r="J20" s="22"/>
    </row>
    <row r="21" spans="2:13" ht="45" x14ac:dyDescent="0.25">
      <c r="B21" s="16">
        <v>9</v>
      </c>
      <c r="C21" s="16" t="s">
        <v>65</v>
      </c>
      <c r="D21" s="36">
        <v>3</v>
      </c>
      <c r="E21" s="50"/>
      <c r="F21" s="52"/>
      <c r="G21" s="50"/>
      <c r="H21" s="49"/>
      <c r="I21" s="22"/>
      <c r="J21" s="22"/>
    </row>
    <row r="22" spans="2:13" ht="45" x14ac:dyDescent="0.25">
      <c r="B22" s="16">
        <v>10</v>
      </c>
      <c r="C22" s="16" t="s">
        <v>66</v>
      </c>
      <c r="D22" s="36">
        <v>3</v>
      </c>
      <c r="E22" s="50"/>
      <c r="F22" s="52"/>
      <c r="G22" s="50"/>
      <c r="H22" s="49"/>
      <c r="I22" s="22"/>
      <c r="J22" s="22"/>
    </row>
    <row r="23" spans="2:13" ht="30" x14ac:dyDescent="0.25">
      <c r="B23" s="16">
        <v>11</v>
      </c>
      <c r="C23" s="16" t="s">
        <v>67</v>
      </c>
      <c r="D23" s="36">
        <v>2</v>
      </c>
      <c r="E23" s="50"/>
      <c r="F23" s="53"/>
      <c r="G23" s="50"/>
      <c r="H23" s="49"/>
      <c r="I23" s="22"/>
      <c r="J23" s="22"/>
    </row>
    <row r="24" spans="2:13" ht="45" x14ac:dyDescent="0.25">
      <c r="B24" s="16">
        <v>12</v>
      </c>
      <c r="C24" s="16" t="s">
        <v>68</v>
      </c>
      <c r="D24" s="36">
        <v>5</v>
      </c>
      <c r="E24" s="50">
        <f>SUM(D24:D26)</f>
        <v>16</v>
      </c>
      <c r="F24" s="51">
        <f>(E24-3)/(18-3)*100</f>
        <v>86.666666666666671</v>
      </c>
      <c r="G24" s="50" t="s">
        <v>103</v>
      </c>
      <c r="H24" s="49" t="s">
        <v>108</v>
      </c>
      <c r="I24" s="22"/>
      <c r="J24" s="22"/>
    </row>
    <row r="25" spans="2:13" ht="30" x14ac:dyDescent="0.25">
      <c r="B25" s="16">
        <v>13</v>
      </c>
      <c r="C25" s="16" t="s">
        <v>69</v>
      </c>
      <c r="D25" s="36">
        <v>6</v>
      </c>
      <c r="E25" s="50"/>
      <c r="F25" s="52"/>
      <c r="G25" s="50"/>
      <c r="H25" s="49"/>
      <c r="I25" s="22"/>
      <c r="J25" s="22"/>
    </row>
    <row r="26" spans="2:13" ht="30" x14ac:dyDescent="0.25">
      <c r="B26" s="16">
        <v>14</v>
      </c>
      <c r="C26" s="16" t="s">
        <v>70</v>
      </c>
      <c r="D26" s="36">
        <v>5</v>
      </c>
      <c r="E26" s="50"/>
      <c r="F26" s="53"/>
      <c r="G26" s="50"/>
      <c r="H26" s="49"/>
      <c r="I26" s="22"/>
      <c r="J26" s="22"/>
    </row>
  </sheetData>
  <mergeCells count="16">
    <mergeCell ref="H24:H26"/>
    <mergeCell ref="E24:E26"/>
    <mergeCell ref="G24:G26"/>
    <mergeCell ref="F13:F16"/>
    <mergeCell ref="F17:F19"/>
    <mergeCell ref="F20:F23"/>
    <mergeCell ref="F24:F26"/>
    <mergeCell ref="E13:E16"/>
    <mergeCell ref="G13:G16"/>
    <mergeCell ref="E17:E19"/>
    <mergeCell ref="G17:G19"/>
    <mergeCell ref="E20:E23"/>
    <mergeCell ref="G20:G23"/>
    <mergeCell ref="H13:H16"/>
    <mergeCell ref="H17:H19"/>
    <mergeCell ref="H20:H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22A2F-CC7F-4E17-B14C-FDDFC26D2124}">
  <dimension ref="A1"/>
  <sheetViews>
    <sheetView zoomScale="23" zoomScaleNormal="33" workbookViewId="0">
      <selection activeCell="AM81" sqref="AM81"/>
    </sheetView>
  </sheetViews>
  <sheetFormatPr defaultColWidth="8.8554687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Tujuan Sistem</vt:lpstr>
      <vt:lpstr>Struktur</vt:lpstr>
      <vt:lpstr>Form Survey</vt:lpstr>
      <vt:lpstr>Hasil Survey</vt:lpstr>
      <vt:lpstr>Analisis</vt:lpstr>
      <vt:lpstr>contoh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MyBook J7</dc:creator>
  <cp:lastModifiedBy>Dafa Aziul</cp:lastModifiedBy>
  <dcterms:created xsi:type="dcterms:W3CDTF">2025-06-11T01:53:28Z</dcterms:created>
  <dcterms:modified xsi:type="dcterms:W3CDTF">2025-10-26T06:54:40Z</dcterms:modified>
</cp:coreProperties>
</file>